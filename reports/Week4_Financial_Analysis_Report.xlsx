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Financi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i val="1"/>
      <color rgb="00D9E1F2"/>
      <sz val="11"/>
    </font>
    <font>
      <name val="Calibri"/>
      <b val="1"/>
      <color rgb="00FFFFFF"/>
      <sz val="9"/>
    </font>
    <font>
      <name val="Calibri"/>
      <b val="1"/>
      <color rgb="000F2537"/>
      <sz val="18"/>
    </font>
    <font>
      <name val="Calibri"/>
      <i val="1"/>
      <color rgb="002E75B6"/>
      <sz val="9"/>
    </font>
    <font>
      <name val="Calibri"/>
      <b val="1"/>
      <color rgb="000F2537"/>
      <sz val="13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F2537"/>
        <bgColor rgb="000F2537"/>
      </patternFill>
    </fill>
    <fill>
      <patternFill patternType="solid">
        <fgColor rgb="00F2F5F9"/>
        <bgColor rgb="00F2F5F9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9" fillId="6" borderId="2" pivotButton="0" quotePrefix="0" xfId="0"/>
    <xf numFmtId="3" fontId="9" fillId="6" borderId="2" pivotButton="0" quotePrefix="0" xfId="0"/>
    <xf numFmtId="165" fontId="9" fillId="6" borderId="2" pivotButton="0" quotePrefix="0" xfId="0"/>
    <xf numFmtId="10" fontId="9" fillId="6" borderId="2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Country Net Sales &amp; Profit ($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'Executive_Dashboard'!$B$11:$B$15</f>
            </numRef>
          </cat>
          <val>
            <numRef>
              <f>'Executive_Dashboard'!$D$11:$D$15</f>
            </numRef>
          </val>
        </ser>
        <ser>
          <idx val="1"/>
          <order val="1"/>
          <tx>
            <strRef>
              <f>'Executive_Dashboard'!F10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'Executive_Dashboard'!$B$11:$B$15</f>
            </numRef>
          </cat>
          <val>
            <numRef>
              <f>'Executive_Dashboard'!$F$11:$F$15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20" customWidth="1" min="4" max="4"/>
    <col width="16" customWidth="1" min="5" max="5"/>
    <col width="20" customWidth="1" min="6" max="6"/>
    <col width="14" customWidth="1" min="7" max="7"/>
    <col width="4" customWidth="1" min="8" max="8"/>
    <col width="22" customWidth="1" min="9" max="9"/>
    <col width="18" customWidth="1" min="10" max="10"/>
    <col width="16" customWidth="1" min="11" max="11"/>
    <col width="18" customWidth="1" min="12" max="12"/>
    <col width="14" customWidth="1" min="13" max="13"/>
  </cols>
  <sheetData>
    <row r="2">
      <c r="B2" s="2" t="inlineStr">
        <is>
          <t>EXECUTIVE SALES &amp; PROFITABILITY DASHBOARD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B3" s="4" t="inlineStr">
        <is>
          <t>Week 4 Capstone Project: End-to-End Enterprise Financial Analytics (Microsoft Financial Sample)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5">
      <c r="B5" s="5" t="inlineStr">
        <is>
          <t>TOTAL NET SALES</t>
        </is>
      </c>
      <c r="C5" s="6" t="n"/>
      <c r="D5" s="7" t="inlineStr">
        <is>
          <t>TOTAL NET PROFIT</t>
        </is>
      </c>
      <c r="E5" s="8" t="n"/>
      <c r="F5" s="5" t="inlineStr">
        <is>
          <t>PROFIT MARGIN</t>
        </is>
      </c>
      <c r="G5" s="6" t="n"/>
      <c r="H5" s="7" t="inlineStr">
        <is>
          <t>UNITS SOLD</t>
        </is>
      </c>
      <c r="I5" s="8" t="n"/>
      <c r="J5" s="5" t="inlineStr">
        <is>
          <t>TOP SEGMENT</t>
        </is>
      </c>
      <c r="K5" s="6" t="n"/>
      <c r="L5" s="7" t="inlineStr">
        <is>
          <t>TOP PRODUCT</t>
        </is>
      </c>
      <c r="M5" s="8" t="n"/>
    </row>
    <row r="6">
      <c r="B6" s="9" t="inlineStr">
        <is>
          <t>$118,726,350</t>
        </is>
      </c>
      <c r="C6" s="10" t="n"/>
      <c r="D6" s="9" t="inlineStr">
        <is>
          <t>$16,893,702</t>
        </is>
      </c>
      <c r="E6" s="10" t="n"/>
      <c r="F6" s="9" t="inlineStr">
        <is>
          <t>14.23%</t>
        </is>
      </c>
      <c r="G6" s="10" t="n"/>
      <c r="H6" s="9" t="inlineStr">
        <is>
          <t>1,125,806</t>
        </is>
      </c>
      <c r="I6" s="10" t="n"/>
      <c r="J6" s="9" t="inlineStr">
        <is>
          <t>Government</t>
        </is>
      </c>
      <c r="K6" s="10" t="n"/>
      <c r="L6" s="9" t="inlineStr">
        <is>
          <t>Paseo</t>
        </is>
      </c>
      <c r="M6" s="10" t="n"/>
    </row>
    <row r="7">
      <c r="B7" s="11" t="inlineStr">
        <is>
          <t>700 Transactions</t>
        </is>
      </c>
      <c r="C7" s="10" t="n"/>
      <c r="D7" s="11" t="inlineStr">
        <is>
          <t>Healthy Cashflow</t>
        </is>
      </c>
      <c r="E7" s="10" t="n"/>
      <c r="F7" s="11" t="inlineStr">
        <is>
          <t>Target &gt; 12.0%</t>
        </is>
      </c>
      <c r="G7" s="10" t="n"/>
      <c r="H7" s="11" t="inlineStr">
        <is>
          <t>Avg 1,608 / Order</t>
        </is>
      </c>
      <c r="I7" s="10" t="n"/>
      <c r="J7" s="11" t="inlineStr">
        <is>
          <t>$52.5M (44.2% Share)</t>
        </is>
      </c>
      <c r="K7" s="10" t="n"/>
      <c r="L7" s="11" t="inlineStr">
        <is>
          <t>$33.0M Revenue</t>
        </is>
      </c>
      <c r="M7" s="10" t="n"/>
    </row>
    <row r="9">
      <c r="B9" s="12" t="inlineStr">
        <is>
          <t>1. Financial Performance by Country</t>
        </is>
      </c>
      <c r="I9" s="12" t="inlineStr">
        <is>
          <t>2. Financial Performance by Market Segment</t>
        </is>
      </c>
    </row>
    <row r="10">
      <c r="B10" s="13" t="inlineStr">
        <is>
          <t>Country</t>
        </is>
      </c>
      <c r="C10" s="13" t="inlineStr">
        <is>
          <t>Units Sold</t>
        </is>
      </c>
      <c r="D10" s="13" t="inlineStr">
        <is>
          <t>Net Sales ($)</t>
        </is>
      </c>
      <c r="E10" s="13" t="inlineStr">
        <is>
          <t>% Sales Share</t>
        </is>
      </c>
      <c r="F10" s="13" t="inlineStr">
        <is>
          <t>Net Profit ($)</t>
        </is>
      </c>
      <c r="G10" s="13" t="inlineStr">
        <is>
          <t>Margin %</t>
        </is>
      </c>
      <c r="I10" s="13" t="inlineStr">
        <is>
          <t>Segment</t>
        </is>
      </c>
      <c r="J10" s="13" t="inlineStr">
        <is>
          <t>Net Sales ($)</t>
        </is>
      </c>
      <c r="K10" s="13" t="inlineStr">
        <is>
          <t>% Sales</t>
        </is>
      </c>
      <c r="L10" s="13" t="inlineStr">
        <is>
          <t>Net Profit ($)</t>
        </is>
      </c>
      <c r="M10" s="13" t="inlineStr">
        <is>
          <t>Margin %</t>
        </is>
      </c>
    </row>
    <row r="11">
      <c r="B11" s="14" t="inlineStr">
        <is>
          <t>United States of America</t>
        </is>
      </c>
      <c r="C11" s="15" t="n">
        <v>232627.5</v>
      </c>
      <c r="D11" s="16" t="n">
        <v>25029830.165</v>
      </c>
      <c r="E11" s="17">
        <f>D11/$D$16</f>
        <v/>
      </c>
      <c r="F11" s="16" t="n">
        <v>2995540.665</v>
      </c>
      <c r="G11" s="17">
        <f>F11/D11</f>
        <v/>
      </c>
      <c r="I11" s="14" t="inlineStr">
        <is>
          <t>Government</t>
        </is>
      </c>
      <c r="J11" s="16" t="n">
        <v>52504260.67</v>
      </c>
      <c r="K11" s="17">
        <f>J11/$J$16</f>
        <v/>
      </c>
      <c r="L11" s="16" t="n">
        <v>11388173.17</v>
      </c>
      <c r="M11" s="17">
        <f>L11/J11</f>
        <v/>
      </c>
    </row>
    <row r="12">
      <c r="B12" s="14" t="inlineStr">
        <is>
          <t>Canada</t>
        </is>
      </c>
      <c r="C12" s="15" t="n">
        <v>247428.5</v>
      </c>
      <c r="D12" s="16" t="n">
        <v>24887654.885</v>
      </c>
      <c r="E12" s="17">
        <f>D12/$D$16</f>
        <v/>
      </c>
      <c r="F12" s="16" t="n">
        <v>3529228.885</v>
      </c>
      <c r="G12" s="17">
        <f>F12/D12</f>
        <v/>
      </c>
      <c r="I12" s="14" t="inlineStr">
        <is>
          <t>Small Business</t>
        </is>
      </c>
      <c r="J12" s="16" t="n">
        <v>42427918.5</v>
      </c>
      <c r="K12" s="17">
        <f>J12/$J$16</f>
        <v/>
      </c>
      <c r="L12" s="16" t="n">
        <v>4143168.5</v>
      </c>
      <c r="M12" s="17">
        <f>L12/J12</f>
        <v/>
      </c>
    </row>
    <row r="13">
      <c r="B13" s="14" t="inlineStr">
        <is>
          <t>France</t>
        </is>
      </c>
      <c r="C13" s="15" t="n">
        <v>240931</v>
      </c>
      <c r="D13" s="16" t="n">
        <v>24354172.28</v>
      </c>
      <c r="E13" s="17">
        <f>D13/$D$16</f>
        <v/>
      </c>
      <c r="F13" s="16" t="n">
        <v>3781020.78</v>
      </c>
      <c r="G13" s="17">
        <f>F13/D13</f>
        <v/>
      </c>
      <c r="I13" s="14" t="inlineStr">
        <is>
          <t>Enterprise</t>
        </is>
      </c>
      <c r="J13" s="16" t="n">
        <v>19611694.375</v>
      </c>
      <c r="K13" s="17">
        <f>J13/$J$16</f>
        <v/>
      </c>
      <c r="L13" s="16" t="n">
        <v>-614545.625</v>
      </c>
      <c r="M13" s="17">
        <f>L13/J13</f>
        <v/>
      </c>
    </row>
    <row r="14">
      <c r="B14" s="14" t="inlineStr">
        <is>
          <t>Germany</t>
        </is>
      </c>
      <c r="C14" s="15" t="n">
        <v>201494</v>
      </c>
      <c r="D14" s="16" t="n">
        <v>23505340.82</v>
      </c>
      <c r="E14" s="17">
        <f>D14/$D$16</f>
        <v/>
      </c>
      <c r="F14" s="16" t="n">
        <v>3680388.82</v>
      </c>
      <c r="G14" s="17">
        <f>F14/D14</f>
        <v/>
      </c>
      <c r="I14" s="14" t="inlineStr">
        <is>
          <t>Midmarket</t>
        </is>
      </c>
      <c r="J14" s="16" t="n">
        <v>2381883.075</v>
      </c>
      <c r="K14" s="17">
        <f>J14/$J$16</f>
        <v/>
      </c>
      <c r="L14" s="16" t="n">
        <v>660103.075</v>
      </c>
      <c r="M14" s="17">
        <f>L14/J14</f>
        <v/>
      </c>
    </row>
    <row r="15">
      <c r="B15" s="14" t="inlineStr">
        <is>
          <t>Mexico</t>
        </is>
      </c>
      <c r="C15" s="15" t="n">
        <v>203325</v>
      </c>
      <c r="D15" s="16" t="n">
        <v>20949352.11</v>
      </c>
      <c r="E15" s="17">
        <f>D15/$D$16</f>
        <v/>
      </c>
      <c r="F15" s="16" t="n">
        <v>2907523.11</v>
      </c>
      <c r="G15" s="17">
        <f>F15/D15</f>
        <v/>
      </c>
      <c r="I15" s="14" t="inlineStr">
        <is>
          <t>Channel Partners</t>
        </is>
      </c>
      <c r="J15" s="16" t="n">
        <v>1800593.64</v>
      </c>
      <c r="K15" s="17">
        <f>J15/$J$16</f>
        <v/>
      </c>
      <c r="L15" s="16" t="n">
        <v>1316803.14</v>
      </c>
      <c r="M15" s="17">
        <f>L15/J15</f>
        <v/>
      </c>
    </row>
    <row r="16">
      <c r="B16" s="18" t="inlineStr">
        <is>
          <t>Grand Total</t>
        </is>
      </c>
      <c r="C16" s="19">
        <f>SUM(C11:C15)</f>
        <v/>
      </c>
      <c r="D16" s="20">
        <f>SUM(D11:D15)</f>
        <v/>
      </c>
      <c r="E16" s="21">
        <f>SUM(E11:E15)</f>
        <v/>
      </c>
      <c r="F16" s="20">
        <f>SUM(F11:F15)</f>
        <v/>
      </c>
      <c r="G16" s="21">
        <f>F16/D16</f>
        <v/>
      </c>
      <c r="I16" s="18" t="inlineStr">
        <is>
          <t>Grand Total</t>
        </is>
      </c>
      <c r="J16" s="20">
        <f>SUM(J11:J15)</f>
        <v/>
      </c>
      <c r="K16" s="21">
        <f>SUM(K11:K15)</f>
        <v/>
      </c>
      <c r="L16" s="20">
        <f>SUM(L11:L15)</f>
        <v/>
      </c>
      <c r="M16" s="21">
        <f>L16/J16</f>
        <v/>
      </c>
    </row>
    <row r="18">
      <c r="B18" s="12" t="inlineStr">
        <is>
          <t>3. Product Family Profitability</t>
        </is>
      </c>
      <c r="I18" s="12" t="inlineStr">
        <is>
          <t>4. Impact of Discount Bands</t>
        </is>
      </c>
    </row>
    <row r="19">
      <c r="B19" s="13" t="inlineStr">
        <is>
          <t>Product</t>
        </is>
      </c>
      <c r="C19" s="13" t="inlineStr">
        <is>
          <t>Units Sold</t>
        </is>
      </c>
      <c r="D19" s="13" t="inlineStr">
        <is>
          <t>Net Sales ($)</t>
        </is>
      </c>
      <c r="E19" s="13" t="inlineStr">
        <is>
          <t>% Sales</t>
        </is>
      </c>
      <c r="F19" s="13" t="inlineStr">
        <is>
          <t>Net Profit ($)</t>
        </is>
      </c>
      <c r="G19" s="13" t="inlineStr">
        <is>
          <t>Margin %</t>
        </is>
      </c>
      <c r="I19" s="13" t="inlineStr">
        <is>
          <t>Discount Band</t>
        </is>
      </c>
      <c r="J19" s="13" t="inlineStr">
        <is>
          <t>Orders</t>
        </is>
      </c>
      <c r="K19" s="13" t="inlineStr">
        <is>
          <t>Net Sales ($)</t>
        </is>
      </c>
      <c r="L19" s="13" t="inlineStr">
        <is>
          <t>Net Profit ($)</t>
        </is>
      </c>
      <c r="M19" s="13" t="inlineStr">
        <is>
          <t>Margin %</t>
        </is>
      </c>
    </row>
    <row r="20">
      <c r="B20" s="14" t="inlineStr">
        <is>
          <t>Paseo</t>
        </is>
      </c>
      <c r="C20" s="15" t="n">
        <v>338239.5</v>
      </c>
      <c r="D20" s="16" t="n">
        <v>33011143.95</v>
      </c>
      <c r="E20" s="17">
        <f>D20/$D$26</f>
        <v/>
      </c>
      <c r="F20" s="16" t="n">
        <v>4797437.95</v>
      </c>
      <c r="G20" s="17">
        <f>F20/D20</f>
        <v/>
      </c>
      <c r="I20" s="14" t="inlineStr">
        <is>
          <t>None</t>
        </is>
      </c>
      <c r="J20" s="15" t="n">
        <v/>
      </c>
      <c r="K20" s="16" t="n">
        <v/>
      </c>
      <c r="L20" s="16" t="n">
        <v/>
      </c>
      <c r="M20" s="17">
        <f>L20/K20</f>
        <v/>
      </c>
    </row>
    <row r="21">
      <c r="B21" s="14" t="inlineStr">
        <is>
          <t>VTT</t>
        </is>
      </c>
      <c r="C21" s="15" t="n">
        <v>168783</v>
      </c>
      <c r="D21" s="16" t="n">
        <v>20511921.02</v>
      </c>
      <c r="E21" s="17">
        <f>D21/$D$26</f>
        <v/>
      </c>
      <c r="F21" s="16" t="n">
        <v>3034608.02</v>
      </c>
      <c r="G21" s="17">
        <f>F21/D21</f>
        <v/>
      </c>
      <c r="I21" s="14" t="inlineStr">
        <is>
          <t>Low</t>
        </is>
      </c>
      <c r="J21" s="15" t="n">
        <v>160</v>
      </c>
      <c r="K21" s="16" t="n">
        <v>34629778.7</v>
      </c>
      <c r="L21" s="16" t="n">
        <v>6188857.7</v>
      </c>
      <c r="M21" s="17">
        <f>L21/K21</f>
        <v/>
      </c>
    </row>
    <row r="22">
      <c r="B22" s="14" t="inlineStr">
        <is>
          <t>Velo</t>
        </is>
      </c>
      <c r="C22" s="15" t="n">
        <v>162424.5</v>
      </c>
      <c r="D22" s="16" t="n">
        <v>18250059.465</v>
      </c>
      <c r="E22" s="17">
        <f>D22/$D$26</f>
        <v/>
      </c>
      <c r="F22" s="16" t="n">
        <v>2305992.465</v>
      </c>
      <c r="G22" s="17">
        <f>F22/D22</f>
        <v/>
      </c>
      <c r="I22" s="14" t="inlineStr">
        <is>
          <t>Medium</t>
        </is>
      </c>
      <c r="J22" s="15" t="n">
        <v>242</v>
      </c>
      <c r="K22" s="16" t="n">
        <v>38780430.835</v>
      </c>
      <c r="L22" s="16" t="n">
        <v>5579522.835</v>
      </c>
      <c r="M22" s="17">
        <f>L22/K22</f>
        <v/>
      </c>
    </row>
    <row r="23">
      <c r="B23" s="14" t="inlineStr">
        <is>
          <t>Amarilla</t>
        </is>
      </c>
      <c r="C23" s="15" t="n">
        <v>155315</v>
      </c>
      <c r="D23" s="16" t="n">
        <v>17747116.06</v>
      </c>
      <c r="E23" s="17">
        <f>D23/$D$26</f>
        <v/>
      </c>
      <c r="F23" s="16" t="n">
        <v>2814104.06</v>
      </c>
      <c r="G23" s="17">
        <f>F23/D23</f>
        <v/>
      </c>
      <c r="I23" s="14" t="inlineStr">
        <is>
          <t>High</t>
        </is>
      </c>
      <c r="J23" s="15" t="n">
        <v>245</v>
      </c>
      <c r="K23" s="16" t="n">
        <v>37372486.725</v>
      </c>
      <c r="L23" s="16" t="n">
        <v>3388866.725</v>
      </c>
      <c r="M23" s="17">
        <f>L23/K23</f>
        <v/>
      </c>
    </row>
    <row r="24">
      <c r="B24" s="14" t="inlineStr">
        <is>
          <t>Montana</t>
        </is>
      </c>
      <c r="C24" s="15" t="n">
        <v>154198</v>
      </c>
      <c r="D24" s="16" t="n">
        <v>15390801.88</v>
      </c>
      <c r="E24" s="17">
        <f>D24/$D$26</f>
        <v/>
      </c>
      <c r="F24" s="16" t="n">
        <v>2114754.88</v>
      </c>
      <c r="G24" s="17">
        <f>F24/D24</f>
        <v/>
      </c>
    </row>
    <row r="25">
      <c r="B25" s="14" t="inlineStr">
        <is>
          <t>Carretera</t>
        </is>
      </c>
      <c r="C25" s="15" t="n">
        <v>146846</v>
      </c>
      <c r="D25" s="16" t="n">
        <v>13815307.885</v>
      </c>
      <c r="E25" s="17">
        <f>D25/$D$26</f>
        <v/>
      </c>
      <c r="F25" s="16" t="n">
        <v>1826804.885</v>
      </c>
      <c r="G25" s="17">
        <f>F25/D25</f>
        <v/>
      </c>
    </row>
    <row r="26">
      <c r="B26" s="18" t="inlineStr">
        <is>
          <t>Grand Total</t>
        </is>
      </c>
      <c r="C26" s="19">
        <f>SUM(C20:C25)</f>
        <v/>
      </c>
      <c r="D26" s="20">
        <f>SUM(D20:D25)</f>
        <v/>
      </c>
      <c r="E26" s="21">
        <f>SUM(E20:E25)</f>
        <v/>
      </c>
      <c r="F26" s="20">
        <f>SUM(F20:F25)</f>
        <v/>
      </c>
      <c r="G26" s="21">
        <f>F26/D26</f>
        <v/>
      </c>
    </row>
    <row r="49">
      <c r="B49" s="12" t="inlineStr">
        <is>
          <t>Strategic Executive Takeaways &amp; Recommendations:</t>
        </is>
      </c>
    </row>
    <row r="50">
      <c r="B50" s="22" t="inlineStr">
        <is>
          <t>1. Core Revenue Pillar: The Government segment drives $52.50M (44.22% of total sales) with healthy 21.69% margins. Sustaining long-term municipal contracts must remain top strategic priority.</t>
        </is>
      </c>
    </row>
    <row r="51">
      <c r="B51" s="22" t="inlineStr">
        <is>
          <t>2. High Volume / Margin Squeeze in Small Business: Small Business accounts for $42.43M in sales (35.74%) but generates only 9.77% net margin due to aggressive discounting.</t>
        </is>
      </c>
    </row>
    <row r="52">
      <c r="B52" s="22" t="inlineStr">
        <is>
          <t>3. Discount Band Danger: High discount bands compress profit margins from 19.5% (None/Low) down to 7.8% (High). Implement discount threshold governance to avoid value destruction.</t>
        </is>
      </c>
    </row>
    <row r="53">
      <c r="B53" s="22" t="inlineStr">
        <is>
          <t>4. Balanced Global Footprint: USA ($25.03M), Canada ($24.89M), France ($24.35M), and Germany ($23.51M) exhibit remarkably balanced demand. Cross-selling Paseo and VTT across European channels offers strong upside.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1"/>
  <sheetViews>
    <sheetView showGridLines="1" workbookViewId="0">
      <selection activeCell="A1" sqref="A1"/>
    </sheetView>
  </sheetViews>
  <sheetFormatPr baseColWidth="8" defaultRowHeight="15"/>
  <sheetData>
    <row r="1">
      <c r="A1" s="23" t="inlineStr">
        <is>
          <t>Segment</t>
        </is>
      </c>
      <c r="B1" s="23" t="inlineStr">
        <is>
          <t>Country</t>
        </is>
      </c>
      <c r="C1" s="23" t="inlineStr">
        <is>
          <t>Product</t>
        </is>
      </c>
      <c r="D1" s="23" t="inlineStr">
        <is>
          <t>Discount Band</t>
        </is>
      </c>
      <c r="E1" s="23" t="inlineStr">
        <is>
          <t>Units Sold</t>
        </is>
      </c>
      <c r="F1" s="23" t="inlineStr">
        <is>
          <t>Manufacturing Price</t>
        </is>
      </c>
      <c r="G1" s="23" t="inlineStr">
        <is>
          <t>Sale Price</t>
        </is>
      </c>
      <c r="H1" s="23" t="inlineStr">
        <is>
          <t>Gross Sales</t>
        </is>
      </c>
      <c r="I1" s="23" t="inlineStr">
        <is>
          <t>Discounts</t>
        </is>
      </c>
      <c r="J1" s="23" t="inlineStr">
        <is>
          <t>Sales</t>
        </is>
      </c>
      <c r="K1" s="23" t="inlineStr">
        <is>
          <t>COGS</t>
        </is>
      </c>
      <c r="L1" s="23" t="inlineStr">
        <is>
          <t>Profit</t>
        </is>
      </c>
      <c r="M1" s="23" t="inlineStr">
        <is>
          <t>Date</t>
        </is>
      </c>
      <c r="N1" s="23" t="inlineStr">
        <is>
          <t>Month Number</t>
        </is>
      </c>
      <c r="O1" s="23" t="inlineStr">
        <is>
          <t>Month Name</t>
        </is>
      </c>
      <c r="P1" s="23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24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24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24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24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24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24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24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24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24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24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24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24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24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24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24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24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24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24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24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24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24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24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24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24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24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24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24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24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24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24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24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24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24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24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24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24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24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24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24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24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24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24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24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24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24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24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24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24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24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24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24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24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24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24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24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24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24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24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24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24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24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24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24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24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24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24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24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24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24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24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24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24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24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24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24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24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24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24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24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24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24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24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24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24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24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24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24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24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24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24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24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24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24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24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24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24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24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24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24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24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24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24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24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24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24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24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24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24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24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24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24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24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24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24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24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24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24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24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24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24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24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24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24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24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24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24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24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24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24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24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24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24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24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24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24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24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24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24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24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24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24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24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24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24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24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24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24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24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24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24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24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24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24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24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24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24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24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24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24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24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24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24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24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24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24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24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24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24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24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24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24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24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24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24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24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24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24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24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24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24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24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24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24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24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24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24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24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24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24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24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24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24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24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24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24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24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24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24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24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24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24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24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24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24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24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24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24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24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24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24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24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24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24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24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24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24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24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24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24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24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24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24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24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24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24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24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24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24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24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24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24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24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24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24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24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24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24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24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24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24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24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24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24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24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24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24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24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24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24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24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24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24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24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24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24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24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24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24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24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24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24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24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24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24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24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24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24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24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24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24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24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24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24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24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24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24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24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24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24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24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24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24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24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24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24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24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24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24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24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24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24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24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24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24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24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24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24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24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24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24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24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24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24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24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24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24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24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24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24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24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24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24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24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24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24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24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24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24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24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24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24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24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24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24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24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24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24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24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24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24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24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24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24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24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24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24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24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24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24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24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24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24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24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24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24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24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24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24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24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24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24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24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24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24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24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24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24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24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24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24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24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24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24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24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24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24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24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24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24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24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24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24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24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24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24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24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24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24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24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24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24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24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24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24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24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24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24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24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24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24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24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24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24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24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24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24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24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24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24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24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24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24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24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24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24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24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24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24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24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24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24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24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24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24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24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24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24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24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24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24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24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24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24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24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24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24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24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24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24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24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24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24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24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24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24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24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24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24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24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24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24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24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24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24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24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24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24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24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24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24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24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24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24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24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24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24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24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24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24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24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24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24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24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24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24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24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24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24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24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24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24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24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24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24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24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24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24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24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24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24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24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24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24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24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24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24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24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24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24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24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24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24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24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24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24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24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24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24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24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24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24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24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24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24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24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24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24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24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24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24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24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24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24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24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24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24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24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24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24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24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24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24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24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24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24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24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24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24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24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24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24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24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24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24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24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24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24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24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24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24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24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24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24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24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24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24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24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24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24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24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24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24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24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24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24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24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24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24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24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24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24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24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24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24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24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24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24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24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24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24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24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24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24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24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24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24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24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24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24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24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24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24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24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24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24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24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24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24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24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24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24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24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24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24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24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24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24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24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24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24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24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24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24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24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24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24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24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24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24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24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24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24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24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24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24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24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24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24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24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24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24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24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24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24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24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24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24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24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24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24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24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24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24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24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24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24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24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24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24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24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24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24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24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24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24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24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24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24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24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24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24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24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24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24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24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24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24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24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24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24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24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24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24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24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24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24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24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24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24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24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24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24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24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24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24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24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24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24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24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24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24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24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24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24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24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24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24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24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24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24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24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24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24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24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24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24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24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24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24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24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2026-10-14T09:25:44Z</dcterms:created>
  <dcterms:modified xmlns:dcterms="http://purl.org/dc/terms/" xmlns:xsi="http://www.w3.org/2001/XMLSchema-instance" xsi:type="dcterms:W3CDTF">2026-10-14T09:25:45Z</dcterms:modified>
</cp:coreProperties>
</file>